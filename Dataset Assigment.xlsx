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utkrishtsingh/Downloads/"/>
    </mc:Choice>
  </mc:AlternateContent>
  <xr:revisionPtr revIDLastSave="0" documentId="8_{80893175-6492-764C-A6A9-D2B580998F3B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definedNames>
    <definedName name="_xlnm._FilterDatabase" localSheetId="0" hidden="1">Sheet1!$A$1:$I$1</definedName>
    <definedName name="_xlchart.v1.0" hidden="1">Sheet1!$G$2:$G$54</definedName>
    <definedName name="_xlchart.v1.1" hidden="1">Sheet1!$H$1</definedName>
    <definedName name="_xlchart.v1.2" hidden="1">Sheet1!$H$2:$H$54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29" i="1"/>
  <c r="K6" i="1" s="1"/>
  <c r="H9" i="1"/>
  <c r="H41" i="1"/>
  <c r="H11" i="1"/>
  <c r="H12" i="1"/>
  <c r="H13" i="1"/>
  <c r="H14" i="1"/>
  <c r="H8" i="1"/>
  <c r="H16" i="1"/>
  <c r="H34" i="1"/>
  <c r="H18" i="1"/>
  <c r="H19" i="1"/>
  <c r="H20" i="1"/>
  <c r="H21" i="1"/>
  <c r="H22" i="1"/>
  <c r="H23" i="1"/>
  <c r="H24" i="1"/>
  <c r="H25" i="1"/>
  <c r="H26" i="1"/>
  <c r="H27" i="1"/>
  <c r="H42" i="1"/>
  <c r="H15" i="1"/>
  <c r="H30" i="1"/>
  <c r="H31" i="1"/>
  <c r="H32" i="1"/>
  <c r="H33" i="1"/>
  <c r="H44" i="1"/>
  <c r="H35" i="1"/>
  <c r="H36" i="1"/>
  <c r="H37" i="1"/>
  <c r="H10" i="1"/>
  <c r="H39" i="1"/>
  <c r="H40" i="1"/>
  <c r="H17" i="1"/>
  <c r="H51" i="1"/>
  <c r="H43" i="1"/>
  <c r="H28" i="1"/>
  <c r="H45" i="1"/>
  <c r="H46" i="1"/>
  <c r="H47" i="1"/>
  <c r="H48" i="1"/>
  <c r="H49" i="1"/>
  <c r="H50" i="1"/>
  <c r="H38" i="1"/>
  <c r="H2" i="1"/>
  <c r="B53" i="1"/>
  <c r="K7" i="1" l="1"/>
  <c r="I2" i="1"/>
</calcChain>
</file>

<file path=xl/sharedStrings.xml><?xml version="1.0" encoding="utf-8"?>
<sst xmlns="http://schemas.openxmlformats.org/spreadsheetml/2006/main" count="188" uniqueCount="97">
  <si>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</si>
  <si>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</si>
  <si>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</si>
  <si>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</si>
  <si>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</si>
  <si>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</si>
  <si>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</si>
  <si>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</si>
  <si>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</si>
  <si>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</si>
  <si>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</si>
  <si>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</si>
  <si>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</si>
  <si>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</si>
  <si>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</si>
  <si>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</si>
  <si>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</si>
  <si>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</si>
  <si>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</si>
  <si>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</si>
  <si>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</si>
  <si>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</si>
  <si>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</si>
  <si>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</si>
  <si>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</si>
  <si>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</si>
  <si>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</si>
  <si>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</si>
  <si>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</si>
  <si>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</si>
  <si>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</si>
  <si>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</si>
  <si>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</si>
  <si>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</si>
  <si>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</si>
  <si>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</si>
  <si>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</si>
  <si>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</si>
  <si>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</si>
  <si>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</si>
  <si>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</si>
  <si>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</si>
  <si>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</si>
  <si>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</si>
  <si>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</si>
  <si>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</si>
  <si>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</si>
  <si>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</si>
  <si>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</si>
  <si>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</si>
  <si>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</si>
  <si>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</si>
  <si>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</si>
  <si>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</si>
  <si>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</si>
  <si>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</si>
  <si>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</si>
  <si>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</si>
  <si>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</si>
  <si>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</si>
  <si>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</si>
  <si>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</si>
  <si>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</si>
  <si>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</si>
  <si>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</si>
  <si>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</si>
  <si>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</si>
  <si>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</si>
  <si>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</si>
  <si>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</si>
  <si>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</si>
  <si>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</si>
  <si>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</si>
  <si>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</si>
  <si>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</si>
  <si>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</si>
  <si>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</si>
  <si>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</si>
  <si>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</si>
  <si>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</si>
  <si>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</si>
  <si>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</si>
  <si>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</si>
  <si>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</si>
  <si>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</si>
  <si>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</si>
  <si>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</si>
  <si>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</si>
  <si>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</si>
  <si>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</si>
  <si>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</si>
  <si>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</si>
  <si>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Q7. Create a column chart showing total sales by product.</t>
  </si>
  <si>
    <t>Q8.Insert a line chart showing daily sales trend.</t>
  </si>
  <si>
    <t>Q6.Total Sales in North Region Only</t>
  </si>
  <si>
    <t>Q5. Total Sales</t>
  </si>
  <si>
    <t>Q4.Total Customers' names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</si>
</sst>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5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311138109764093E-2"/>
          <c:y val="0.19085390802917732"/>
          <c:w val="0.88828676065694134"/>
          <c:h val="0.597334145075461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Q5.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Sheet1!$D$2:$D$54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Pen</c:v>
                </c:pt>
                <c:pt idx="7">
                  <c:v>Pen</c:v>
                </c:pt>
                <c:pt idx="8">
                  <c:v>Pencil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Eraser</c:v>
                </c:pt>
                <c:pt idx="14">
                  <c:v>Marker</c:v>
                </c:pt>
                <c:pt idx="15">
                  <c:v>Pen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Eraser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Pencil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</c:v>
                </c:pt>
                <c:pt idx="37">
                  <c:v>Eraser</c:v>
                </c:pt>
                <c:pt idx="38">
                  <c:v>Notebook</c:v>
                </c:pt>
                <c:pt idx="39">
                  <c:v>Marker</c:v>
                </c:pt>
                <c:pt idx="40">
                  <c:v>Pencil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Marker</c:v>
                </c:pt>
              </c:strCache>
            </c:strRef>
          </c:cat>
          <c:val>
            <c:numRef>
              <c:f>Sheet1!$H$2:$H$54</c:f>
              <c:numCache>
                <c:formatCode>General</c:formatCode>
                <c:ptCount val="53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280</c:v>
                </c:pt>
                <c:pt idx="7">
                  <c:v>180</c:v>
                </c:pt>
                <c:pt idx="8">
                  <c:v>140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216</c:v>
                </c:pt>
                <c:pt idx="14">
                  <c:v>300</c:v>
                </c:pt>
                <c:pt idx="15">
                  <c:v>270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208</c:v>
                </c:pt>
                <c:pt idx="27">
                  <c:v>200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125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250</c:v>
                </c:pt>
                <c:pt idx="37">
                  <c:v>192</c:v>
                </c:pt>
                <c:pt idx="38">
                  <c:v>800</c:v>
                </c:pt>
                <c:pt idx="39">
                  <c:v>550</c:v>
                </c:pt>
                <c:pt idx="40">
                  <c:v>110</c:v>
                </c:pt>
                <c:pt idx="41">
                  <c:v>150</c:v>
                </c:pt>
                <c:pt idx="42">
                  <c:v>176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E2-1240-A80D-AE6D43A95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7736688"/>
        <c:axId val="237738400"/>
      </c:barChart>
      <c:catAx>
        <c:axId val="23773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738400"/>
        <c:crosses val="autoZero"/>
        <c:auto val="1"/>
        <c:lblAlgn val="ctr"/>
        <c:lblOffset val="100"/>
        <c:noMultiLvlLbl val="0"/>
      </c:catAx>
      <c:valAx>
        <c:axId val="23773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736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Q5. 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Sheet1!$G$2:$G$54</c:f>
              <c:strCache>
                <c:ptCount val="50"/>
                <c:pt idx="0">
                  <c:v>05-01-2024</c:v>
                </c:pt>
                <c:pt idx="1">
                  <c:v>06-01-2024</c:v>
                </c:pt>
                <c:pt idx="2">
                  <c:v>07-01-2024</c:v>
                </c:pt>
                <c:pt idx="3">
                  <c:v>08-01-2024</c:v>
                </c:pt>
                <c:pt idx="4">
                  <c:v>10-01-2024</c:v>
                </c:pt>
                <c:pt idx="5">
                  <c:v>11-01-2024</c:v>
                </c:pt>
                <c:pt idx="6">
                  <c:v>23-01-2024</c:v>
                </c:pt>
                <c:pt idx="7">
                  <c:v>15-01-2024</c:v>
                </c:pt>
                <c:pt idx="8">
                  <c:v>22-02-2024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10-02-2024</c:v>
                </c:pt>
                <c:pt idx="14">
                  <c:v>24-01-2024</c:v>
                </c:pt>
                <c:pt idx="15">
                  <c:v>26-02-2024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01-02-2024</c:v>
                </c:pt>
                <c:pt idx="20">
                  <c:v>02-02-2024</c:v>
                </c:pt>
                <c:pt idx="21">
                  <c:v>03-02-2024</c:v>
                </c:pt>
                <c:pt idx="22">
                  <c:v>04-02-2024</c:v>
                </c:pt>
                <c:pt idx="23">
                  <c:v>06-02-2024</c:v>
                </c:pt>
                <c:pt idx="24">
                  <c:v>07-02-2024</c:v>
                </c:pt>
                <c:pt idx="25">
                  <c:v>08-02-2024</c:v>
                </c:pt>
                <c:pt idx="26">
                  <c:v>01-03-2024</c:v>
                </c:pt>
                <c:pt idx="27">
                  <c:v>13-01-2024</c:v>
                </c:pt>
                <c:pt idx="28">
                  <c:v>12-02-2024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26-01-2024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08-03-2024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17-01-2024</c:v>
                </c:pt>
                <c:pt idx="40">
                  <c:v>09-02-2024</c:v>
                </c:pt>
                <c:pt idx="41">
                  <c:v>28-02-2024</c:v>
                </c:pt>
                <c:pt idx="42">
                  <c:v>17-02-2024</c:v>
                </c:pt>
                <c:pt idx="43">
                  <c:v>02-03-2024</c:v>
                </c:pt>
                <c:pt idx="44">
                  <c:v>03-03-2024</c:v>
                </c:pt>
                <c:pt idx="45">
                  <c:v>04-03-2024</c:v>
                </c:pt>
                <c:pt idx="46">
                  <c:v>05-03-2024</c:v>
                </c:pt>
                <c:pt idx="47">
                  <c:v>06-03-2024</c:v>
                </c:pt>
                <c:pt idx="48">
                  <c:v>07-03-2024</c:v>
                </c:pt>
                <c:pt idx="49">
                  <c:v>27-02-2024</c:v>
                </c:pt>
              </c:strCache>
            </c:strRef>
          </c:cat>
          <c:val>
            <c:numRef>
              <c:f>Sheet1!$H$2:$H$54</c:f>
              <c:numCache>
                <c:formatCode>General</c:formatCode>
                <c:ptCount val="53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280</c:v>
                </c:pt>
                <c:pt idx="7">
                  <c:v>180</c:v>
                </c:pt>
                <c:pt idx="8">
                  <c:v>140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216</c:v>
                </c:pt>
                <c:pt idx="14">
                  <c:v>300</c:v>
                </c:pt>
                <c:pt idx="15">
                  <c:v>270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208</c:v>
                </c:pt>
                <c:pt idx="27">
                  <c:v>200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125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250</c:v>
                </c:pt>
                <c:pt idx="37">
                  <c:v>192</c:v>
                </c:pt>
                <c:pt idx="38">
                  <c:v>800</c:v>
                </c:pt>
                <c:pt idx="39">
                  <c:v>550</c:v>
                </c:pt>
                <c:pt idx="40">
                  <c:v>110</c:v>
                </c:pt>
                <c:pt idx="41">
                  <c:v>150</c:v>
                </c:pt>
                <c:pt idx="42">
                  <c:v>176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23-8944-B3F3-892BC917D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9257839"/>
        <c:axId val="1249173567"/>
      </c:lineChart>
      <c:catAx>
        <c:axId val="124925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173567"/>
        <c:crosses val="autoZero"/>
        <c:auto val="1"/>
        <c:lblAlgn val="ctr"/>
        <c:lblOffset val="100"/>
        <c:noMultiLvlLbl val="0"/>
      </c:catAx>
      <c:valAx>
        <c:axId val="124917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257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498050</xdr:colOff>
      <xdr:row>4</xdr:row>
      <xdr:rowOff>25306</xdr:rowOff>
    </xdr:from>
    <xdr:to>
      <xdr:col>10</xdr:col>
      <xdr:colOff>1880454</xdr:colOff>
      <xdr:row>18</xdr:row>
      <xdr:rowOff>101506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75B87F-9F0A-A355-A4A9-1BDE05A05D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419860</xdr:colOff>
      <xdr:row>20</xdr:row>
      <xdr:rowOff>163773</xdr:rowOff>
    </xdr:from>
    <xdr:to>
      <xdr:col>10</xdr:col>
      <xdr:colOff>1797904</xdr:colOff>
      <xdr:row>35</xdr:row>
      <xdr:rowOff>63690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F81391-9B29-7FA3-9CB4-BC8A8E204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53"/>
  <sheetViews>
    <sheetView tabSelected="1" zoomScale="134" workbookViewId="0">
      <selection activeCell="I2" sqref="I2"/>
    </sheetView>
  </sheetViews>
  <sheetFormatPr baseColWidth="10" defaultColWidth="12.6640625" defaultRowHeight="15.75" customHeight="1" x14ac:dyDescent="0.15"/>
  <cols>
    <col min="9" max="9" width="19.83203125" customWidth="1"/>
    <col min="10" max="10" width="22.1640625" customWidth="1"/>
    <col min="11" max="11" width="25.5" customWidth="1"/>
  </cols>
  <sheetData>
    <row r="1" spans="1:1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95</v>
      </c>
      <c r="I1" s="6" t="s">
        <v>94</v>
      </c>
    </row>
    <row r="2" spans="1:11" ht="15" x14ac:dyDescent="0.2">
      <c r="A2" s="2">
        <v>1001</v>
      </c>
      <c r="B2" s="3" t="s">
        <v>7</v>
      </c>
      <c r="C2" s="3" t="s">
        <v>8</v>
      </c>
      <c r="D2" s="3" t="s">
        <v>9</v>
      </c>
      <c r="E2" s="2">
        <v>10</v>
      </c>
      <c r="F2" s="2">
        <v>50</v>
      </c>
      <c r="G2" s="4">
        <v>45413</v>
      </c>
      <c r="H2" s="5">
        <f>E2*F2</f>
        <v>500</v>
      </c>
      <c r="I2" s="6">
        <f>SUMIF(C:C, "North", H:H)</f>
        <v>4941</v>
      </c>
    </row>
    <row r="3" spans="1:11" ht="15" x14ac:dyDescent="0.2">
      <c r="A3" s="2">
        <v>1002</v>
      </c>
      <c r="B3" s="3" t="s">
        <v>10</v>
      </c>
      <c r="C3" s="3" t="s">
        <v>11</v>
      </c>
      <c r="D3" s="3" t="s">
        <v>12</v>
      </c>
      <c r="E3" s="2">
        <v>20</v>
      </c>
      <c r="F3" s="2">
        <v>10</v>
      </c>
      <c r="G3" s="4">
        <v>45444</v>
      </c>
      <c r="H3" s="5">
        <f t="shared" ref="H3:H51" si="0">E3*F3</f>
        <v>200</v>
      </c>
    </row>
    <row r="4" spans="1:11" ht="15" x14ac:dyDescent="0.2">
      <c r="A4" s="2">
        <v>1003</v>
      </c>
      <c r="B4" s="3" t="s">
        <v>13</v>
      </c>
      <c r="C4" s="3" t="s">
        <v>14</v>
      </c>
      <c r="D4" s="3" t="s">
        <v>15</v>
      </c>
      <c r="E4" s="2">
        <v>15</v>
      </c>
      <c r="F4" s="2">
        <v>25</v>
      </c>
      <c r="G4" s="4">
        <v>45474</v>
      </c>
      <c r="H4" s="5">
        <f t="shared" si="0"/>
        <v>375</v>
      </c>
      <c r="J4" s="6" t="s">
        <v>92</v>
      </c>
    </row>
    <row r="5" spans="1:11" ht="15" x14ac:dyDescent="0.2">
      <c r="A5" s="2">
        <v>1004</v>
      </c>
      <c r="B5" s="3" t="s">
        <v>16</v>
      </c>
      <c r="C5" s="3" t="s">
        <v>17</v>
      </c>
      <c r="D5" s="3" t="s">
        <v>9</v>
      </c>
      <c r="E5" s="2">
        <v>5</v>
      </c>
      <c r="F5" s="2">
        <v>50</v>
      </c>
      <c r="G5" s="4">
        <v>45505</v>
      </c>
      <c r="H5" s="5">
        <f t="shared" si="0"/>
        <v>250</v>
      </c>
    </row>
    <row r="6" spans="1:11" ht="15" x14ac:dyDescent="0.2">
      <c r="A6" s="2">
        <v>1005</v>
      </c>
      <c r="B6" s="3" t="s">
        <v>18</v>
      </c>
      <c r="C6" s="3" t="s">
        <v>8</v>
      </c>
      <c r="D6" s="3" t="s">
        <v>19</v>
      </c>
      <c r="E6" s="2">
        <v>30</v>
      </c>
      <c r="F6" s="2">
        <v>5</v>
      </c>
      <c r="G6" s="4">
        <v>45566</v>
      </c>
      <c r="H6" s="5">
        <f t="shared" si="0"/>
        <v>150</v>
      </c>
      <c r="K6">
        <f>AVERAGEIFS(H:H,E:E, "&gt;20",E:E, "&lt;30")</f>
        <v>249.38461538461539</v>
      </c>
    </row>
    <row r="7" spans="1:11" ht="15" x14ac:dyDescent="0.2">
      <c r="A7" s="2">
        <v>1006</v>
      </c>
      <c r="B7" s="3" t="s">
        <v>20</v>
      </c>
      <c r="C7" s="3" t="s">
        <v>11</v>
      </c>
      <c r="D7" s="3" t="s">
        <v>9</v>
      </c>
      <c r="E7" s="2">
        <v>12</v>
      </c>
      <c r="F7" s="2">
        <v>50</v>
      </c>
      <c r="G7" s="4">
        <v>45597</v>
      </c>
      <c r="H7" s="5">
        <f t="shared" si="0"/>
        <v>600</v>
      </c>
      <c r="K7">
        <f>AVERAGEIF(H:H, "&gt;500")</f>
        <v>652.5</v>
      </c>
    </row>
    <row r="8" spans="1:11" ht="15" x14ac:dyDescent="0.2">
      <c r="A8" s="2">
        <v>1014</v>
      </c>
      <c r="B8" s="3" t="s">
        <v>36</v>
      </c>
      <c r="C8" s="3" t="s">
        <v>11</v>
      </c>
      <c r="D8" s="3" t="s">
        <v>12</v>
      </c>
      <c r="E8" s="2">
        <v>28</v>
      </c>
      <c r="F8" s="2">
        <v>10</v>
      </c>
      <c r="G8" s="2" t="s">
        <v>37</v>
      </c>
      <c r="H8" s="5">
        <f>E8*F8</f>
        <v>280</v>
      </c>
    </row>
    <row r="9" spans="1:11" ht="15" x14ac:dyDescent="0.2">
      <c r="A9" s="2">
        <v>1008</v>
      </c>
      <c r="B9" s="3" t="s">
        <v>24</v>
      </c>
      <c r="C9" s="3" t="s">
        <v>17</v>
      </c>
      <c r="D9" s="3" t="s">
        <v>12</v>
      </c>
      <c r="E9" s="2">
        <v>18</v>
      </c>
      <c r="F9" s="2">
        <v>10</v>
      </c>
      <c r="G9" s="2" t="s">
        <v>25</v>
      </c>
      <c r="H9" s="5">
        <f>E9*F9</f>
        <v>180</v>
      </c>
    </row>
    <row r="10" spans="1:11" ht="15" x14ac:dyDescent="0.2">
      <c r="A10" s="2">
        <v>1037</v>
      </c>
      <c r="B10" s="3" t="s">
        <v>72</v>
      </c>
      <c r="C10" s="3" t="s">
        <v>8</v>
      </c>
      <c r="D10" s="3" t="s">
        <v>19</v>
      </c>
      <c r="E10" s="2">
        <v>28</v>
      </c>
      <c r="F10" s="2">
        <v>5</v>
      </c>
      <c r="G10" s="2" t="s">
        <v>73</v>
      </c>
      <c r="H10" s="5">
        <f>E10*F10</f>
        <v>140</v>
      </c>
    </row>
    <row r="11" spans="1:11" ht="15" x14ac:dyDescent="0.2">
      <c r="A11" s="2">
        <v>1010</v>
      </c>
      <c r="B11" s="3" t="s">
        <v>28</v>
      </c>
      <c r="C11" s="3" t="s">
        <v>11</v>
      </c>
      <c r="D11" s="3" t="s">
        <v>9</v>
      </c>
      <c r="E11" s="2">
        <v>8</v>
      </c>
      <c r="F11" s="2">
        <v>50</v>
      </c>
      <c r="G11" s="2" t="s">
        <v>29</v>
      </c>
      <c r="H11" s="5">
        <f>E11*F11</f>
        <v>400</v>
      </c>
    </row>
    <row r="12" spans="1:11" ht="15" x14ac:dyDescent="0.2">
      <c r="A12" s="2">
        <v>1011</v>
      </c>
      <c r="B12" s="3" t="s">
        <v>30</v>
      </c>
      <c r="C12" s="3" t="s">
        <v>14</v>
      </c>
      <c r="D12" s="3" t="s">
        <v>19</v>
      </c>
      <c r="E12" s="2">
        <v>40</v>
      </c>
      <c r="F12" s="2">
        <v>5</v>
      </c>
      <c r="G12" s="2" t="s">
        <v>31</v>
      </c>
      <c r="H12" s="5">
        <f>E12*F12</f>
        <v>200</v>
      </c>
    </row>
    <row r="13" spans="1:11" ht="15" x14ac:dyDescent="0.2">
      <c r="A13" s="2">
        <v>1012</v>
      </c>
      <c r="B13" s="3" t="s">
        <v>32</v>
      </c>
      <c r="C13" s="3" t="s">
        <v>17</v>
      </c>
      <c r="D13" s="3" t="s">
        <v>22</v>
      </c>
      <c r="E13" s="2">
        <v>35</v>
      </c>
      <c r="F13" s="2">
        <v>8</v>
      </c>
      <c r="G13" s="2" t="s">
        <v>33</v>
      </c>
      <c r="H13" s="5">
        <f>E13*F13</f>
        <v>280</v>
      </c>
    </row>
    <row r="14" spans="1:11" ht="15" x14ac:dyDescent="0.2">
      <c r="A14" s="2">
        <v>1013</v>
      </c>
      <c r="B14" s="3" t="s">
        <v>34</v>
      </c>
      <c r="C14" s="3" t="s">
        <v>8</v>
      </c>
      <c r="D14" s="3" t="s">
        <v>9</v>
      </c>
      <c r="E14" s="2">
        <v>14</v>
      </c>
      <c r="F14" s="2">
        <v>50</v>
      </c>
      <c r="G14" s="2" t="s">
        <v>35</v>
      </c>
      <c r="H14" s="5">
        <f>E14*F14</f>
        <v>700</v>
      </c>
    </row>
    <row r="15" spans="1:11" ht="15" x14ac:dyDescent="0.2">
      <c r="A15" s="2">
        <v>1028</v>
      </c>
      <c r="B15" s="3" t="s">
        <v>56</v>
      </c>
      <c r="C15" s="3" t="s">
        <v>17</v>
      </c>
      <c r="D15" s="3" t="s">
        <v>22</v>
      </c>
      <c r="E15" s="2">
        <v>27</v>
      </c>
      <c r="F15" s="2">
        <v>8</v>
      </c>
      <c r="G15" s="4">
        <v>45567</v>
      </c>
      <c r="H15" s="5">
        <f>E15*F15</f>
        <v>216</v>
      </c>
    </row>
    <row r="16" spans="1:11" ht="15" x14ac:dyDescent="0.2">
      <c r="A16" s="2">
        <v>1015</v>
      </c>
      <c r="B16" s="3" t="s">
        <v>38</v>
      </c>
      <c r="C16" s="3" t="s">
        <v>14</v>
      </c>
      <c r="D16" s="3" t="s">
        <v>15</v>
      </c>
      <c r="E16" s="2">
        <v>12</v>
      </c>
      <c r="F16" s="2">
        <v>25</v>
      </c>
      <c r="G16" s="2" t="s">
        <v>39</v>
      </c>
      <c r="H16" s="5">
        <f>E16*F16</f>
        <v>300</v>
      </c>
    </row>
    <row r="17" spans="1:10" ht="15" x14ac:dyDescent="0.2">
      <c r="A17" s="2">
        <v>1040</v>
      </c>
      <c r="B17" s="3" t="s">
        <v>78</v>
      </c>
      <c r="C17" s="3" t="s">
        <v>17</v>
      </c>
      <c r="D17" s="3" t="s">
        <v>12</v>
      </c>
      <c r="E17" s="2">
        <v>27</v>
      </c>
      <c r="F17" s="2">
        <v>10</v>
      </c>
      <c r="G17" s="2" t="s">
        <v>79</v>
      </c>
      <c r="H17" s="5">
        <f>E17*F17</f>
        <v>270</v>
      </c>
    </row>
    <row r="18" spans="1:10" ht="15" x14ac:dyDescent="0.2">
      <c r="A18" s="2">
        <v>1017</v>
      </c>
      <c r="B18" s="3" t="s">
        <v>42</v>
      </c>
      <c r="C18" s="3" t="s">
        <v>8</v>
      </c>
      <c r="D18" s="3" t="s">
        <v>22</v>
      </c>
      <c r="E18" s="2">
        <v>20</v>
      </c>
      <c r="F18" s="2">
        <v>8</v>
      </c>
      <c r="G18" s="2" t="s">
        <v>43</v>
      </c>
      <c r="H18" s="5">
        <f>E18*F18</f>
        <v>160</v>
      </c>
    </row>
    <row r="19" spans="1:10" ht="15" x14ac:dyDescent="0.2">
      <c r="A19" s="2">
        <v>1018</v>
      </c>
      <c r="B19" s="3" t="s">
        <v>44</v>
      </c>
      <c r="C19" s="3" t="s">
        <v>11</v>
      </c>
      <c r="D19" s="3" t="s">
        <v>9</v>
      </c>
      <c r="E19" s="2">
        <v>10</v>
      </c>
      <c r="F19" s="2">
        <v>50</v>
      </c>
      <c r="G19" s="2" t="s">
        <v>45</v>
      </c>
      <c r="H19" s="5">
        <f>E19*F19</f>
        <v>500</v>
      </c>
    </row>
    <row r="20" spans="1:10" ht="15" x14ac:dyDescent="0.2">
      <c r="A20" s="2">
        <v>1019</v>
      </c>
      <c r="B20" s="3" t="s">
        <v>46</v>
      </c>
      <c r="C20" s="3" t="s">
        <v>14</v>
      </c>
      <c r="D20" s="3" t="s">
        <v>12</v>
      </c>
      <c r="E20" s="2">
        <v>15</v>
      </c>
      <c r="F20" s="2">
        <v>10</v>
      </c>
      <c r="G20" s="2" t="s">
        <v>47</v>
      </c>
      <c r="H20" s="5">
        <f>E20*F20</f>
        <v>150</v>
      </c>
      <c r="J20" s="6" t="s">
        <v>93</v>
      </c>
    </row>
    <row r="21" spans="1:10" ht="15" x14ac:dyDescent="0.2">
      <c r="A21" s="2">
        <v>1020</v>
      </c>
      <c r="B21" s="3" t="s">
        <v>48</v>
      </c>
      <c r="C21" s="3" t="s">
        <v>17</v>
      </c>
      <c r="D21" s="3" t="s">
        <v>15</v>
      </c>
      <c r="E21" s="2">
        <v>18</v>
      </c>
      <c r="F21" s="2">
        <v>25</v>
      </c>
      <c r="G21" s="4">
        <v>45293</v>
      </c>
      <c r="H21" s="5">
        <f>E21*F21</f>
        <v>450</v>
      </c>
    </row>
    <row r="22" spans="1:10" ht="15" x14ac:dyDescent="0.2">
      <c r="A22" s="2">
        <v>1021</v>
      </c>
      <c r="B22" s="3" t="s">
        <v>49</v>
      </c>
      <c r="C22" s="3" t="s">
        <v>8</v>
      </c>
      <c r="D22" s="3" t="s">
        <v>9</v>
      </c>
      <c r="E22" s="2">
        <v>9</v>
      </c>
      <c r="F22" s="2">
        <v>50</v>
      </c>
      <c r="G22" s="4">
        <v>45324</v>
      </c>
      <c r="H22" s="5">
        <f>E22*F22</f>
        <v>450</v>
      </c>
    </row>
    <row r="23" spans="1:10" ht="15" x14ac:dyDescent="0.2">
      <c r="A23" s="2">
        <v>1022</v>
      </c>
      <c r="B23" s="3" t="s">
        <v>50</v>
      </c>
      <c r="C23" s="3" t="s">
        <v>11</v>
      </c>
      <c r="D23" s="3" t="s">
        <v>19</v>
      </c>
      <c r="E23" s="2">
        <v>35</v>
      </c>
      <c r="F23" s="2">
        <v>5</v>
      </c>
      <c r="G23" s="4">
        <v>45353</v>
      </c>
      <c r="H23" s="5">
        <f>E23*F23</f>
        <v>175</v>
      </c>
    </row>
    <row r="24" spans="1:10" ht="15" x14ac:dyDescent="0.2">
      <c r="A24" s="2">
        <v>1023</v>
      </c>
      <c r="B24" s="3" t="s">
        <v>51</v>
      </c>
      <c r="C24" s="3" t="s">
        <v>14</v>
      </c>
      <c r="D24" s="3" t="s">
        <v>22</v>
      </c>
      <c r="E24" s="2">
        <v>30</v>
      </c>
      <c r="F24" s="2">
        <v>8</v>
      </c>
      <c r="G24" s="4">
        <v>45384</v>
      </c>
      <c r="H24" s="5">
        <f>E24*F24</f>
        <v>240</v>
      </c>
    </row>
    <row r="25" spans="1:10" ht="15" x14ac:dyDescent="0.2">
      <c r="A25" s="2">
        <v>1024</v>
      </c>
      <c r="B25" s="3" t="s">
        <v>52</v>
      </c>
      <c r="C25" s="3" t="s">
        <v>17</v>
      </c>
      <c r="D25" s="3" t="s">
        <v>9</v>
      </c>
      <c r="E25" s="2">
        <v>11</v>
      </c>
      <c r="F25" s="2">
        <v>50</v>
      </c>
      <c r="G25" s="4">
        <v>45445</v>
      </c>
      <c r="H25" s="5">
        <f>E25*F25</f>
        <v>550</v>
      </c>
    </row>
    <row r="26" spans="1:10" ht="15" x14ac:dyDescent="0.2">
      <c r="A26" s="2">
        <v>1025</v>
      </c>
      <c r="B26" s="3" t="s">
        <v>53</v>
      </c>
      <c r="C26" s="3" t="s">
        <v>8</v>
      </c>
      <c r="D26" s="3" t="s">
        <v>12</v>
      </c>
      <c r="E26" s="2">
        <v>14</v>
      </c>
      <c r="F26" s="2">
        <v>10</v>
      </c>
      <c r="G26" s="4">
        <v>45475</v>
      </c>
      <c r="H26" s="5">
        <f>E26*F26</f>
        <v>140</v>
      </c>
    </row>
    <row r="27" spans="1:10" ht="15" x14ac:dyDescent="0.2">
      <c r="A27" s="2">
        <v>1026</v>
      </c>
      <c r="B27" s="3" t="s">
        <v>54</v>
      </c>
      <c r="C27" s="3" t="s">
        <v>11</v>
      </c>
      <c r="D27" s="3" t="s">
        <v>15</v>
      </c>
      <c r="E27" s="2">
        <v>16</v>
      </c>
      <c r="F27" s="2">
        <v>25</v>
      </c>
      <c r="G27" s="4">
        <v>45506</v>
      </c>
      <c r="H27" s="5">
        <f>E27*F27</f>
        <v>400</v>
      </c>
    </row>
    <row r="28" spans="1:10" ht="15" x14ac:dyDescent="0.2">
      <c r="A28" s="2">
        <v>1043</v>
      </c>
      <c r="B28" s="3" t="s">
        <v>84</v>
      </c>
      <c r="C28" s="3" t="s">
        <v>14</v>
      </c>
      <c r="D28" s="3" t="s">
        <v>22</v>
      </c>
      <c r="E28" s="2">
        <v>26</v>
      </c>
      <c r="F28" s="2">
        <v>8</v>
      </c>
      <c r="G28" s="4">
        <v>45294</v>
      </c>
      <c r="H28" s="5">
        <f>E28*F28</f>
        <v>208</v>
      </c>
    </row>
    <row r="29" spans="1:10" ht="15" x14ac:dyDescent="0.2">
      <c r="A29" s="2">
        <v>1007</v>
      </c>
      <c r="B29" s="3" t="s">
        <v>21</v>
      </c>
      <c r="C29" s="3" t="s">
        <v>14</v>
      </c>
      <c r="D29" s="3" t="s">
        <v>22</v>
      </c>
      <c r="E29" s="2">
        <v>25</v>
      </c>
      <c r="F29" s="2">
        <v>8</v>
      </c>
      <c r="G29" s="2" t="s">
        <v>23</v>
      </c>
      <c r="H29" s="5">
        <f>E29*F29</f>
        <v>200</v>
      </c>
    </row>
    <row r="30" spans="1:10" ht="15" x14ac:dyDescent="0.2">
      <c r="A30" s="2">
        <v>1029</v>
      </c>
      <c r="B30" s="3" t="s">
        <v>57</v>
      </c>
      <c r="C30" s="3" t="s">
        <v>8</v>
      </c>
      <c r="D30" s="3" t="s">
        <v>9</v>
      </c>
      <c r="E30" s="2">
        <v>13</v>
      </c>
      <c r="F30" s="2">
        <v>50</v>
      </c>
      <c r="G30" s="4">
        <v>45628</v>
      </c>
      <c r="H30" s="5">
        <f>E30*F30</f>
        <v>650</v>
      </c>
    </row>
    <row r="31" spans="1:10" ht="15" x14ac:dyDescent="0.2">
      <c r="A31" s="2">
        <v>1030</v>
      </c>
      <c r="B31" s="3" t="s">
        <v>58</v>
      </c>
      <c r="C31" s="3" t="s">
        <v>11</v>
      </c>
      <c r="D31" s="3" t="s">
        <v>12</v>
      </c>
      <c r="E31" s="2">
        <v>32</v>
      </c>
      <c r="F31" s="2">
        <v>10</v>
      </c>
      <c r="G31" s="2" t="s">
        <v>59</v>
      </c>
      <c r="H31" s="5">
        <f>E31*F31</f>
        <v>320</v>
      </c>
    </row>
    <row r="32" spans="1:10" ht="15" x14ac:dyDescent="0.2">
      <c r="A32" s="2">
        <v>1031</v>
      </c>
      <c r="B32" s="3" t="s">
        <v>60</v>
      </c>
      <c r="C32" s="3" t="s">
        <v>14</v>
      </c>
      <c r="D32" s="3" t="s">
        <v>15</v>
      </c>
      <c r="E32" s="2">
        <v>10</v>
      </c>
      <c r="F32" s="2">
        <v>25</v>
      </c>
      <c r="G32" s="2" t="s">
        <v>61</v>
      </c>
      <c r="H32" s="5">
        <f>E32*F32</f>
        <v>250</v>
      </c>
    </row>
    <row r="33" spans="1:8" ht="15" x14ac:dyDescent="0.2">
      <c r="A33" s="2">
        <v>1032</v>
      </c>
      <c r="B33" s="3" t="s">
        <v>62</v>
      </c>
      <c r="C33" s="3" t="s">
        <v>17</v>
      </c>
      <c r="D33" s="3" t="s">
        <v>19</v>
      </c>
      <c r="E33" s="2">
        <v>18</v>
      </c>
      <c r="F33" s="2">
        <v>5</v>
      </c>
      <c r="G33" s="2" t="s">
        <v>63</v>
      </c>
      <c r="H33" s="5">
        <f>E33*F33</f>
        <v>90</v>
      </c>
    </row>
    <row r="34" spans="1:8" ht="15" x14ac:dyDescent="0.2">
      <c r="A34" s="2">
        <v>1016</v>
      </c>
      <c r="B34" s="3" t="s">
        <v>40</v>
      </c>
      <c r="C34" s="3" t="s">
        <v>17</v>
      </c>
      <c r="D34" s="3" t="s">
        <v>19</v>
      </c>
      <c r="E34" s="2">
        <v>25</v>
      </c>
      <c r="F34" s="2">
        <v>5</v>
      </c>
      <c r="G34" s="2" t="s">
        <v>41</v>
      </c>
      <c r="H34" s="5">
        <f>E34*F34</f>
        <v>125</v>
      </c>
    </row>
    <row r="35" spans="1:8" ht="15" x14ac:dyDescent="0.2">
      <c r="A35" s="2">
        <v>1034</v>
      </c>
      <c r="B35" s="3" t="s">
        <v>66</v>
      </c>
      <c r="C35" s="3" t="s">
        <v>11</v>
      </c>
      <c r="D35" s="3" t="s">
        <v>9</v>
      </c>
      <c r="E35" s="2">
        <v>17</v>
      </c>
      <c r="F35" s="2">
        <v>50</v>
      </c>
      <c r="G35" s="2" t="s">
        <v>67</v>
      </c>
      <c r="H35" s="5">
        <f>E35*F35</f>
        <v>850</v>
      </c>
    </row>
    <row r="36" spans="1:8" ht="15" x14ac:dyDescent="0.2">
      <c r="A36" s="2">
        <v>1035</v>
      </c>
      <c r="B36" s="3" t="s">
        <v>68</v>
      </c>
      <c r="C36" s="3" t="s">
        <v>14</v>
      </c>
      <c r="D36" s="3" t="s">
        <v>12</v>
      </c>
      <c r="E36" s="2">
        <v>19</v>
      </c>
      <c r="F36" s="2">
        <v>10</v>
      </c>
      <c r="G36" s="2" t="s">
        <v>69</v>
      </c>
      <c r="H36" s="5">
        <f>E36*F36</f>
        <v>190</v>
      </c>
    </row>
    <row r="37" spans="1:8" ht="15" x14ac:dyDescent="0.2">
      <c r="A37" s="2">
        <v>1036</v>
      </c>
      <c r="B37" s="3" t="s">
        <v>70</v>
      </c>
      <c r="C37" s="3" t="s">
        <v>17</v>
      </c>
      <c r="D37" s="3" t="s">
        <v>15</v>
      </c>
      <c r="E37" s="2">
        <v>15</v>
      </c>
      <c r="F37" s="2">
        <v>25</v>
      </c>
      <c r="G37" s="2" t="s">
        <v>71</v>
      </c>
      <c r="H37" s="5">
        <f>E37*F37</f>
        <v>375</v>
      </c>
    </row>
    <row r="38" spans="1:8" ht="15" x14ac:dyDescent="0.2">
      <c r="A38" s="2">
        <v>1050</v>
      </c>
      <c r="B38" s="3" t="s">
        <v>91</v>
      </c>
      <c r="C38" s="3" t="s">
        <v>11</v>
      </c>
      <c r="D38" s="3" t="s">
        <v>12</v>
      </c>
      <c r="E38" s="2">
        <v>25</v>
      </c>
      <c r="F38" s="2">
        <v>10</v>
      </c>
      <c r="G38" s="4">
        <v>45507</v>
      </c>
      <c r="H38" s="5">
        <f>E38*F38</f>
        <v>250</v>
      </c>
    </row>
    <row r="39" spans="1:8" ht="15" x14ac:dyDescent="0.2">
      <c r="A39" s="2">
        <v>1038</v>
      </c>
      <c r="B39" s="3" t="s">
        <v>74</v>
      </c>
      <c r="C39" s="3" t="s">
        <v>11</v>
      </c>
      <c r="D39" s="3" t="s">
        <v>22</v>
      </c>
      <c r="E39" s="2">
        <v>24</v>
      </c>
      <c r="F39" s="2">
        <v>8</v>
      </c>
      <c r="G39" s="2" t="s">
        <v>75</v>
      </c>
      <c r="H39" s="5">
        <f>E39*F39</f>
        <v>192</v>
      </c>
    </row>
    <row r="40" spans="1:8" ht="15" x14ac:dyDescent="0.2">
      <c r="A40" s="2">
        <v>1039</v>
      </c>
      <c r="B40" s="3" t="s">
        <v>76</v>
      </c>
      <c r="C40" s="3" t="s">
        <v>14</v>
      </c>
      <c r="D40" s="3" t="s">
        <v>9</v>
      </c>
      <c r="E40" s="2">
        <v>16</v>
      </c>
      <c r="F40" s="2">
        <v>50</v>
      </c>
      <c r="G40" s="2" t="s">
        <v>77</v>
      </c>
      <c r="H40" s="5">
        <f>E40*F40</f>
        <v>800</v>
      </c>
    </row>
    <row r="41" spans="1:8" ht="15" x14ac:dyDescent="0.2">
      <c r="A41" s="2">
        <v>1009</v>
      </c>
      <c r="B41" s="3" t="s">
        <v>26</v>
      </c>
      <c r="C41" s="3" t="s">
        <v>8</v>
      </c>
      <c r="D41" s="3" t="s">
        <v>15</v>
      </c>
      <c r="E41" s="2">
        <v>22</v>
      </c>
      <c r="F41" s="2">
        <v>25</v>
      </c>
      <c r="G41" s="2" t="s">
        <v>27</v>
      </c>
      <c r="H41" s="5">
        <f>E41*F41</f>
        <v>550</v>
      </c>
    </row>
    <row r="42" spans="1:8" ht="15" x14ac:dyDescent="0.2">
      <c r="A42" s="2">
        <v>1027</v>
      </c>
      <c r="B42" s="3" t="s">
        <v>55</v>
      </c>
      <c r="C42" s="3" t="s">
        <v>14</v>
      </c>
      <c r="D42" s="3" t="s">
        <v>19</v>
      </c>
      <c r="E42" s="2">
        <v>22</v>
      </c>
      <c r="F42" s="2">
        <v>5</v>
      </c>
      <c r="G42" s="4">
        <v>45537</v>
      </c>
      <c r="H42" s="5">
        <f>E42*F42</f>
        <v>110</v>
      </c>
    </row>
    <row r="43" spans="1:8" ht="15" x14ac:dyDescent="0.2">
      <c r="A43" s="2">
        <v>1042</v>
      </c>
      <c r="B43" s="3" t="s">
        <v>82</v>
      </c>
      <c r="C43" s="3" t="s">
        <v>11</v>
      </c>
      <c r="D43" s="3" t="s">
        <v>19</v>
      </c>
      <c r="E43" s="2">
        <v>30</v>
      </c>
      <c r="F43" s="2">
        <v>5</v>
      </c>
      <c r="G43" s="2" t="s">
        <v>83</v>
      </c>
      <c r="H43" s="5">
        <f>E43*F43</f>
        <v>150</v>
      </c>
    </row>
    <row r="44" spans="1:8" ht="15" x14ac:dyDescent="0.2">
      <c r="A44" s="2">
        <v>1033</v>
      </c>
      <c r="B44" s="3" t="s">
        <v>64</v>
      </c>
      <c r="C44" s="3" t="s">
        <v>8</v>
      </c>
      <c r="D44" s="3" t="s">
        <v>22</v>
      </c>
      <c r="E44" s="2">
        <v>22</v>
      </c>
      <c r="F44" s="2">
        <v>8</v>
      </c>
      <c r="G44" s="2" t="s">
        <v>65</v>
      </c>
      <c r="H44" s="5">
        <f>E44*F44</f>
        <v>176</v>
      </c>
    </row>
    <row r="45" spans="1:8" ht="15" x14ac:dyDescent="0.2">
      <c r="A45" s="2">
        <v>1044</v>
      </c>
      <c r="B45" s="3" t="s">
        <v>85</v>
      </c>
      <c r="C45" s="3" t="s">
        <v>17</v>
      </c>
      <c r="D45" s="3" t="s">
        <v>9</v>
      </c>
      <c r="E45" s="2">
        <v>14</v>
      </c>
      <c r="F45" s="2">
        <v>50</v>
      </c>
      <c r="G45" s="4">
        <v>45325</v>
      </c>
      <c r="H45" s="5">
        <f>E45*F45</f>
        <v>700</v>
      </c>
    </row>
    <row r="46" spans="1:8" ht="15" x14ac:dyDescent="0.2">
      <c r="A46" s="2">
        <v>1045</v>
      </c>
      <c r="B46" s="3" t="s">
        <v>86</v>
      </c>
      <c r="C46" s="3" t="s">
        <v>8</v>
      </c>
      <c r="D46" s="3" t="s">
        <v>12</v>
      </c>
      <c r="E46" s="2">
        <v>20</v>
      </c>
      <c r="F46" s="2">
        <v>10</v>
      </c>
      <c r="G46" s="4">
        <v>45354</v>
      </c>
      <c r="H46" s="5">
        <f>E46*F46</f>
        <v>200</v>
      </c>
    </row>
    <row r="47" spans="1:8" ht="15" x14ac:dyDescent="0.2">
      <c r="A47" s="2">
        <v>1046</v>
      </c>
      <c r="B47" s="3" t="s">
        <v>87</v>
      </c>
      <c r="C47" s="3" t="s">
        <v>11</v>
      </c>
      <c r="D47" s="3" t="s">
        <v>15</v>
      </c>
      <c r="E47" s="2">
        <v>17</v>
      </c>
      <c r="F47" s="2">
        <v>25</v>
      </c>
      <c r="G47" s="4">
        <v>45385</v>
      </c>
      <c r="H47" s="5">
        <f>E47*F47</f>
        <v>425</v>
      </c>
    </row>
    <row r="48" spans="1:8" ht="15" x14ac:dyDescent="0.2">
      <c r="A48" s="2">
        <v>1047</v>
      </c>
      <c r="B48" s="3" t="s">
        <v>88</v>
      </c>
      <c r="C48" s="3" t="s">
        <v>14</v>
      </c>
      <c r="D48" s="3" t="s">
        <v>19</v>
      </c>
      <c r="E48" s="2">
        <v>19</v>
      </c>
      <c r="F48" s="2">
        <v>5</v>
      </c>
      <c r="G48" s="4">
        <v>45415</v>
      </c>
      <c r="H48" s="5">
        <f>E48*F48</f>
        <v>95</v>
      </c>
    </row>
    <row r="49" spans="1:8" ht="15" x14ac:dyDescent="0.2">
      <c r="A49" s="2">
        <v>1048</v>
      </c>
      <c r="B49" s="3" t="s">
        <v>89</v>
      </c>
      <c r="C49" s="3" t="s">
        <v>17</v>
      </c>
      <c r="D49" s="3" t="s">
        <v>22</v>
      </c>
      <c r="E49" s="2">
        <v>32</v>
      </c>
      <c r="F49" s="2">
        <v>8</v>
      </c>
      <c r="G49" s="4">
        <v>45446</v>
      </c>
      <c r="H49" s="5">
        <f>E49*F49</f>
        <v>256</v>
      </c>
    </row>
    <row r="50" spans="1:8" ht="15" x14ac:dyDescent="0.2">
      <c r="A50" s="2">
        <v>1049</v>
      </c>
      <c r="B50" s="3" t="s">
        <v>90</v>
      </c>
      <c r="C50" s="3" t="s">
        <v>8</v>
      </c>
      <c r="D50" s="3" t="s">
        <v>9</v>
      </c>
      <c r="E50" s="2">
        <v>12</v>
      </c>
      <c r="F50" s="2">
        <v>50</v>
      </c>
      <c r="G50" s="4">
        <v>45476</v>
      </c>
      <c r="H50" s="5">
        <f>E50*F50</f>
        <v>600</v>
      </c>
    </row>
    <row r="51" spans="1:8" ht="15" x14ac:dyDescent="0.2">
      <c r="A51" s="2">
        <v>1041</v>
      </c>
      <c r="B51" s="3" t="s">
        <v>80</v>
      </c>
      <c r="C51" s="3" t="s">
        <v>8</v>
      </c>
      <c r="D51" s="3" t="s">
        <v>15</v>
      </c>
      <c r="E51" s="2">
        <v>21</v>
      </c>
      <c r="F51" s="2">
        <v>25</v>
      </c>
      <c r="G51" s="2" t="s">
        <v>81</v>
      </c>
      <c r="H51" s="5">
        <f>E51*F51</f>
        <v>525</v>
      </c>
    </row>
    <row r="52" spans="1:8" ht="15" x14ac:dyDescent="0.2">
      <c r="B52" s="3"/>
      <c r="C52" s="3"/>
      <c r="D52" s="3"/>
      <c r="E52" s="3"/>
      <c r="F52" s="3"/>
      <c r="G52" s="3"/>
      <c r="H52" s="5"/>
    </row>
    <row r="53" spans="1:8" ht="15" x14ac:dyDescent="0.2">
      <c r="A53" s="1" t="s">
        <v>96</v>
      </c>
      <c r="B53" s="1">
        <f>COUNTA(B2:B51)</f>
        <v>50</v>
      </c>
      <c r="C53" s="3"/>
      <c r="D53" s="3"/>
      <c r="E53" s="3"/>
      <c r="F53" s="3"/>
      <c r="G53" s="3"/>
    </row>
  </sheetData>
  <autoFilter ref="A1:I1" xr:uid="{00000000-0001-0000-0000-000000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Utkrisht Singh</cp:lastModifiedBy>
  <dcterms:created xsi:type="dcterms:W3CDTF">2026-01-07T12:34:06Z</dcterms:created>
  <dcterms:modified xsi:type="dcterms:W3CDTF">2026-01-07T12:34:06Z</dcterms:modified>
</cp:coreProperties>
</file>