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57913A93-B176-894D-B238-037FC5AED371}" xr6:coauthVersionLast="47" xr6:coauthVersionMax="47" xr10:uidLastSave="{00000000-0000-0000-0000-000000000000}"/>
  <bookViews>
    <workbookView xWindow="1840" yWindow="1500" windowWidth="28040" windowHeight="17440" xr2:uid="{2FF8F488-77A2-6441-9526-565874E17A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  <c r="C69" i="1"/>
  <c r="C60" i="1"/>
  <c r="D52" i="1"/>
  <c r="D53" i="1"/>
  <c r="D51" i="1"/>
  <c r="D31" i="1"/>
  <c r="C43" i="1"/>
  <c r="C23" i="1" a="1"/>
  <c r="C23" i="1" s="1"/>
  <c r="C24" i="1" a="1"/>
  <c r="C24" i="1" s="1"/>
  <c r="C25" i="1" a="1"/>
  <c r="C25" i="1" s="1"/>
  <c r="C26" i="1" a="1"/>
  <c r="C26" i="1" s="1"/>
  <c r="C22" i="1" a="1"/>
  <c r="C22" i="1" s="1"/>
  <c r="D14" i="1"/>
  <c r="D15" i="1"/>
  <c r="D16" i="1"/>
  <c r="D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<sst xmlns="http://schemas.openxmlformats.org/spreadsheetml/2006/main" count="83" uniqueCount="64">
  <si>
    <t>Student Name</t>
  </si>
  <si>
    <t>Marks</t>
  </si>
  <si>
    <t>Riya</t>
  </si>
  <si>
    <t>Rahul</t>
  </si>
  <si>
    <t>Siya</t>
  </si>
  <si>
    <t>Ram</t>
  </si>
  <si>
    <t>Raju</t>
  </si>
  <si>
    <t>Raj</t>
  </si>
  <si>
    <t>Rani</t>
  </si>
  <si>
    <t>Neha</t>
  </si>
  <si>
    <t>Sneha</t>
  </si>
  <si>
    <t>Vivek</t>
  </si>
  <si>
    <t>Q.1-Write a formula to check if the marks in cell are greater than or equal to 40. If yes, return , otherwise
.
B2 "Pass"
"Fail</t>
  </si>
  <si>
    <t>Q2. A company gives a bonus  if sales are above 40,000 and attendance is greater than or equal to 90%. Write a
formula to calculate whether the employee will get a bonus or not .</t>
  </si>
  <si>
    <t>Employee</t>
  </si>
  <si>
    <t>Sales</t>
  </si>
  <si>
    <t>Attendance (%)</t>
  </si>
  <si>
    <t>Arjun</t>
  </si>
  <si>
    <t>Simran</t>
  </si>
  <si>
    <t>Rohit</t>
  </si>
  <si>
    <t>Anjali</t>
  </si>
  <si>
    <t>Grade</t>
  </si>
  <si>
    <t>Q3. If marks in B2 are ≥ 90 → "A", ≥ 75 → "B", ≥ 50 → "C", otherwise "Fail".</t>
  </si>
  <si>
    <t>Q.4-Findnd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</si>
  <si>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</si>
  <si>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</si>
  <si>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</si>
  <si>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</si>
  <si>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</si>
  <si>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</si>
  <si>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</si>
  <si>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</si>
  <si>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</si>
  <si>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</si>
  <si>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</si>
  <si>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</si>
  <si>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Result</t>
  </si>
  <si>
    <t>Sales Amount</t>
  </si>
  <si>
    <t>Commission Rate</t>
  </si>
  <si>
    <t>Answer of Q. no 5.</t>
  </si>
  <si>
    <t>Answer of Q. no 4.</t>
  </si>
  <si>
    <t>Q.5- A company has set the following commission structure for its sales team:</t>
  </si>
  <si>
    <r>
      <rPr>
        <b/>
        <sz val="12"/>
        <color theme="1"/>
        <rFont val="Aptos Narrow"/>
        <scheme val="minor"/>
      </rPr>
      <t xml:space="preserve">Reason for why we use VLOOKUP.                                                </t>
    </r>
    <r>
      <rPr>
        <sz val="12"/>
        <color theme="1"/>
        <rFont val="Aptos Narrow"/>
        <family val="2"/>
        <scheme val="minor"/>
      </rPr>
      <t>The VLOOKUP function is used because the Employee ID (EmpID) is present in the first column of the table, and the required information (Department) is located in a column to the right of it.
VLOOKUP allows us to:
1.Search for EmpID = E103 in the first column
2.Retrieve the corresponding Department value
3.Use FALSE (exact match) to ensure the correct employee record is returned"</t>
    </r>
  </si>
  <si>
    <t>Employee Name</t>
  </si>
  <si>
    <t>Leaves Taken</t>
  </si>
  <si>
    <t>Leaves Allowed</t>
  </si>
  <si>
    <t>Status</t>
  </si>
  <si>
    <t>Alex</t>
  </si>
  <si>
    <t>Bob</t>
  </si>
  <si>
    <t>Anna</t>
  </si>
  <si>
    <t>Q.6- The HR department maintains the following leave records of employees:onus or not .                                          Write an IF function to check whether an employee has Exceeded their allowed leave balance.
If Leaves Taken &gt; Allowed Leaves, display "Exceeded".
Otherwise, display "OK".</t>
  </si>
  <si>
    <t>Q.7- Find the salary of EmpID = E105 using INDEX-MATCH Function.</t>
  </si>
  <si>
    <t>Salary</t>
  </si>
  <si>
    <t>E105</t>
  </si>
  <si>
    <t>E106</t>
  </si>
  <si>
    <t>Q.8 -Use the XLOOKUP function to find the Department of the employee with Emp ID = E303.</t>
  </si>
  <si>
    <t>E303</t>
  </si>
  <si>
    <t>E301</t>
  </si>
  <si>
    <t>Answer of Q. no 1.</t>
  </si>
  <si>
    <t>Answer of Q. no 2.</t>
  </si>
  <si>
    <t>Answer of Q. no 3.</t>
  </si>
  <si>
    <t>Answer of Q. no 6.</t>
  </si>
  <si>
    <t>Answer of Q. no 7.</t>
  </si>
  <si>
    <t>Answer of Q. no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</si>
</sst>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wrapText="1"/>
    </xf>
    <xf numFmtId="0" fontId="2" fillId="0" borderId="0" xfId="0" applyFont="1"/>
    <xf numFmtId="3" fontId="0" fillId="0" borderId="0" xfId="0" applyNumberFormat="1"/>
    <xf numFmtId="0" fontId="2" fillId="0" borderId="1" xfId="0" applyFont="1" applyBorder="1"/>
    <xf numFmtId="3" fontId="0" fillId="0" borderId="1" xfId="0" applyNumberFormat="1" applyBorder="1"/>
    <xf numFmtId="0" fontId="3" fillId="0" borderId="1" xfId="0" applyFont="1" applyBorder="1"/>
    <xf numFmtId="0" fontId="3" fillId="0" borderId="0" xfId="0" applyFont="1"/>
    <xf numFmtId="0" fontId="3" fillId="0" borderId="1" xfId="0" applyNumberFormat="1" applyFont="1" applyBorder="1"/>
    <xf numFmtId="0" fontId="3" fillId="0" borderId="0" xfId="0" applyFont="1" applyAlignment="1">
      <alignment wrapText="1"/>
    </xf>
    <xf numFmtId="9" fontId="0" fillId="0" borderId="1" xfId="0" applyNumberForma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E7C5-EFA2-EA42-B595-610CE063C052}">
  <dimension ref="A2:E71"/>
  <sheetViews>
    <sheetView tabSelected="1" workbookViewId="0">
      <selection activeCell="C69" sqref="C69"/>
    </sheetView>
  </sheetViews>
  <sheetFormatPr baseColWidth="10" defaultRowHeight="16" x14ac:dyDescent="0.2"/>
  <cols>
    <col min="1" max="1" width="45.6640625" customWidth="1"/>
    <col min="2" max="2" width="23.5" customWidth="1"/>
    <col min="3" max="3" width="39.1640625" customWidth="1"/>
    <col min="4" max="4" width="38.5" customWidth="1"/>
  </cols>
  <sheetData>
    <row r="2" spans="1:5" ht="124" customHeight="1" x14ac:dyDescent="0.2">
      <c r="A2" s="3" t="s">
        <v>12</v>
      </c>
      <c r="C2" s="4" t="s">
        <v>58</v>
      </c>
    </row>
    <row r="3" spans="1:5" x14ac:dyDescent="0.2">
      <c r="A3" s="6" t="s">
        <v>0</v>
      </c>
      <c r="B3" s="6" t="s">
        <v>1</v>
      </c>
      <c r="C3" s="6" t="s">
        <v>36</v>
      </c>
    </row>
    <row r="4" spans="1:5" x14ac:dyDescent="0.2">
      <c r="A4" s="8" t="s">
        <v>2</v>
      </c>
      <c r="B4" s="10">
        <v>45</v>
      </c>
      <c r="C4" s="6" t="str">
        <f>IF(B4&gt;=40,"Pass","Fail")</f>
        <v>Pass</v>
      </c>
    </row>
    <row r="5" spans="1:5" x14ac:dyDescent="0.2">
      <c r="A5" s="8" t="s">
        <v>3</v>
      </c>
      <c r="B5" s="8">
        <v>80</v>
      </c>
      <c r="C5" s="6" t="str">
        <f t="shared" ref="C5:C8" si="0">IF(B5&gt;=40,"Pass","Fail")</f>
        <v>Pass</v>
      </c>
    </row>
    <row r="6" spans="1:5" x14ac:dyDescent="0.2">
      <c r="A6" s="8" t="s">
        <v>4</v>
      </c>
      <c r="B6" s="8">
        <v>72</v>
      </c>
      <c r="C6" s="6" t="str">
        <f t="shared" si="0"/>
        <v>Pass</v>
      </c>
    </row>
    <row r="7" spans="1:5" x14ac:dyDescent="0.2">
      <c r="A7" s="8" t="s">
        <v>5</v>
      </c>
      <c r="B7" s="8">
        <v>30</v>
      </c>
      <c r="C7" s="6" t="str">
        <f t="shared" si="0"/>
        <v>Fail</v>
      </c>
    </row>
    <row r="8" spans="1:5" x14ac:dyDescent="0.2">
      <c r="A8" s="8" t="s">
        <v>6</v>
      </c>
      <c r="B8" s="8">
        <v>55</v>
      </c>
      <c r="C8" s="6" t="str">
        <f t="shared" si="0"/>
        <v>Pass</v>
      </c>
    </row>
    <row r="10" spans="1:5" ht="85" x14ac:dyDescent="0.2">
      <c r="A10" s="3" t="s">
        <v>13</v>
      </c>
    </row>
    <row r="11" spans="1:5" x14ac:dyDescent="0.2">
      <c r="D11" s="4" t="s">
        <v>59</v>
      </c>
    </row>
    <row r="12" spans="1:5" x14ac:dyDescent="0.2">
      <c r="A12" s="1" t="s">
        <v>14</v>
      </c>
      <c r="B12" s="1" t="s">
        <v>15</v>
      </c>
      <c r="C12" s="1" t="s">
        <v>16</v>
      </c>
      <c r="D12" s="2"/>
      <c r="E12" s="5"/>
    </row>
    <row r="13" spans="1:5" x14ac:dyDescent="0.2">
      <c r="A13" s="2" t="s">
        <v>17</v>
      </c>
      <c r="B13" s="7">
        <v>55000</v>
      </c>
      <c r="C13" s="2">
        <v>95</v>
      </c>
      <c r="D13" s="6" t="str">
        <f>IF(AND(B13&gt;40000,C13&gt;=90), "Bonas","No")</f>
        <v>Bonas</v>
      </c>
      <c r="E13" s="5"/>
    </row>
    <row r="14" spans="1:5" x14ac:dyDescent="0.2">
      <c r="A14" s="2" t="s">
        <v>18</v>
      </c>
      <c r="B14" s="7">
        <v>65000</v>
      </c>
      <c r="C14" s="2">
        <v>85</v>
      </c>
      <c r="D14" s="6" t="str">
        <f t="shared" ref="D14:D16" si="1">IF(AND(B14&gt;40000,C14&gt;=90), "Bonas","No")</f>
        <v>No</v>
      </c>
    </row>
    <row r="15" spans="1:5" x14ac:dyDescent="0.2">
      <c r="A15" s="2" t="s">
        <v>19</v>
      </c>
      <c r="B15" s="7">
        <v>30000</v>
      </c>
      <c r="C15" s="2">
        <v>90</v>
      </c>
      <c r="D15" s="6" t="str">
        <f t="shared" si="1"/>
        <v>No</v>
      </c>
    </row>
    <row r="16" spans="1:5" x14ac:dyDescent="0.2">
      <c r="A16" s="2" t="s">
        <v>20</v>
      </c>
      <c r="B16" s="7">
        <v>25000</v>
      </c>
      <c r="C16" s="2">
        <v>65</v>
      </c>
      <c r="D16" s="6" t="str">
        <f t="shared" si="1"/>
        <v>No</v>
      </c>
    </row>
    <row r="19" spans="1:4" ht="34" x14ac:dyDescent="0.2">
      <c r="A19" s="3" t="s">
        <v>22</v>
      </c>
    </row>
    <row r="20" spans="1:4" x14ac:dyDescent="0.2">
      <c r="C20" s="4" t="s">
        <v>60</v>
      </c>
    </row>
    <row r="21" spans="1:4" x14ac:dyDescent="0.2">
      <c r="A21" s="1" t="s">
        <v>0</v>
      </c>
      <c r="B21" s="1" t="s">
        <v>1</v>
      </c>
      <c r="C21" s="1" t="s">
        <v>21</v>
      </c>
    </row>
    <row r="22" spans="1:4" x14ac:dyDescent="0.2">
      <c r="A22" s="2" t="s">
        <v>7</v>
      </c>
      <c r="B22" s="2">
        <v>85</v>
      </c>
      <c r="C22" s="6" t="str" cm="1">
        <f t="array" ref="C22">_xlfn.IFS(B22&gt;=90,"A",B22&gt;=75,"B",B22&gt;=50,"C",B22&lt;50,"Fail")</f>
        <v>B</v>
      </c>
    </row>
    <row r="23" spans="1:4" x14ac:dyDescent="0.2">
      <c r="A23" s="2" t="s">
        <v>9</v>
      </c>
      <c r="B23" s="2">
        <v>96</v>
      </c>
      <c r="C23" s="6" t="str" cm="1">
        <f t="array" ref="C23">_xlfn.IFS(B23&gt;=90,"A",B23&gt;=75,"B",B23&gt;=50,"C",B23&lt;50,"Fail")</f>
        <v>A</v>
      </c>
    </row>
    <row r="24" spans="1:4" x14ac:dyDescent="0.2">
      <c r="A24" s="2" t="s">
        <v>11</v>
      </c>
      <c r="B24" s="2">
        <v>57</v>
      </c>
      <c r="C24" s="6" t="str" cm="1">
        <f t="array" ref="C24">_xlfn.IFS(B24&gt;=90,"A",B24&gt;=75,"B",B24&gt;=50,"C",B24&lt;50,"Fail")</f>
        <v>C</v>
      </c>
    </row>
    <row r="25" spans="1:4" x14ac:dyDescent="0.2">
      <c r="A25" s="2" t="s">
        <v>8</v>
      </c>
      <c r="B25" s="2">
        <v>92</v>
      </c>
      <c r="C25" s="6" t="str" cm="1">
        <f t="array" ref="C25">_xlfn.IFS(B25&gt;=90,"A",B25&gt;=75,"B",B25&gt;=50,"C",B25&lt;50,"Fail")</f>
        <v>A</v>
      </c>
    </row>
    <row r="26" spans="1:4" x14ac:dyDescent="0.2">
      <c r="A26" s="2" t="s">
        <v>10</v>
      </c>
      <c r="B26" s="2">
        <v>75</v>
      </c>
      <c r="C26" s="6" t="str" cm="1">
        <f t="array" ref="C26">_xlfn.IFS(B26&gt;=90,"A",B26&gt;=75,"B",B26&gt;=50,"C",B26&lt;50,"Fail")</f>
        <v>B</v>
      </c>
    </row>
    <row r="28" spans="1:4" ht="51" x14ac:dyDescent="0.2">
      <c r="A28" s="3" t="s">
        <v>23</v>
      </c>
    </row>
    <row r="29" spans="1:4" x14ac:dyDescent="0.2">
      <c r="D29" s="4" t="s">
        <v>40</v>
      </c>
    </row>
    <row r="30" spans="1:4" x14ac:dyDescent="0.2">
      <c r="A30" s="1" t="s">
        <v>24</v>
      </c>
      <c r="B30" s="1" t="s">
        <v>25</v>
      </c>
      <c r="C30" s="1" t="s">
        <v>26</v>
      </c>
      <c r="D30" s="8" t="s">
        <v>31</v>
      </c>
    </row>
    <row r="31" spans="1:4" x14ac:dyDescent="0.2">
      <c r="A31" s="2" t="s">
        <v>27</v>
      </c>
      <c r="B31" s="2" t="s">
        <v>6</v>
      </c>
      <c r="C31" s="2" t="s">
        <v>28</v>
      </c>
      <c r="D31" s="6" t="str">
        <f>VLOOKUP(D30,A30:C34,3,FALSE)</f>
        <v>Finance</v>
      </c>
    </row>
    <row r="32" spans="1:4" x14ac:dyDescent="0.2">
      <c r="A32" s="2" t="s">
        <v>29</v>
      </c>
      <c r="B32" s="2" t="s">
        <v>2</v>
      </c>
      <c r="C32" s="2" t="s">
        <v>30</v>
      </c>
      <c r="D32" s="2"/>
    </row>
    <row r="33" spans="1:4" x14ac:dyDescent="0.2">
      <c r="A33" s="2" t="s">
        <v>31</v>
      </c>
      <c r="B33" s="2" t="s">
        <v>32</v>
      </c>
      <c r="C33" s="2" t="s">
        <v>33</v>
      </c>
      <c r="D33" s="2"/>
    </row>
    <row r="34" spans="1:4" x14ac:dyDescent="0.2">
      <c r="A34" s="2" t="s">
        <v>34</v>
      </c>
      <c r="B34" s="2" t="s">
        <v>35</v>
      </c>
      <c r="C34" s="2" t="s">
        <v>15</v>
      </c>
      <c r="D34" s="2"/>
    </row>
    <row r="36" spans="1:4" ht="238" x14ac:dyDescent="0.2">
      <c r="A36" s="11" t="s">
        <v>42</v>
      </c>
    </row>
    <row r="37" spans="1:4" x14ac:dyDescent="0.2">
      <c r="A37" s="11"/>
    </row>
    <row r="39" spans="1:4" x14ac:dyDescent="0.2">
      <c r="A39" s="4" t="s">
        <v>41</v>
      </c>
    </row>
    <row r="40" spans="1:4" x14ac:dyDescent="0.2">
      <c r="A40" s="4"/>
    </row>
    <row r="41" spans="1:4" x14ac:dyDescent="0.2">
      <c r="A41" s="1" t="s">
        <v>37</v>
      </c>
      <c r="B41" s="1" t="s">
        <v>38</v>
      </c>
      <c r="C41" s="6" t="s">
        <v>39</v>
      </c>
    </row>
    <row r="42" spans="1:4" x14ac:dyDescent="0.2">
      <c r="A42" s="2">
        <v>0</v>
      </c>
      <c r="B42" s="12">
        <v>0.05</v>
      </c>
      <c r="C42" s="2">
        <v>45000</v>
      </c>
    </row>
    <row r="43" spans="1:4" x14ac:dyDescent="0.2">
      <c r="A43" s="7">
        <v>20000</v>
      </c>
      <c r="B43" s="12">
        <v>0.1</v>
      </c>
      <c r="C43" s="13">
        <f>VLOOKUP(C42,A41:B45,2,TRUE)</f>
        <v>0.1</v>
      </c>
    </row>
    <row r="44" spans="1:4" x14ac:dyDescent="0.2">
      <c r="A44" s="7">
        <v>50000</v>
      </c>
      <c r="B44" s="12">
        <v>0.15</v>
      </c>
      <c r="C44" s="2"/>
    </row>
    <row r="45" spans="1:4" x14ac:dyDescent="0.2">
      <c r="A45" s="7">
        <v>80000</v>
      </c>
      <c r="B45" s="12">
        <v>0.2</v>
      </c>
      <c r="C45" s="2"/>
    </row>
    <row r="47" spans="1:4" x14ac:dyDescent="0.2">
      <c r="A47" s="11"/>
    </row>
    <row r="48" spans="1:4" ht="153" x14ac:dyDescent="0.2">
      <c r="A48" s="3" t="s">
        <v>50</v>
      </c>
    </row>
    <row r="49" spans="1:4" x14ac:dyDescent="0.2">
      <c r="D49" s="6" t="s">
        <v>61</v>
      </c>
    </row>
    <row r="50" spans="1:4" x14ac:dyDescent="0.2">
      <c r="A50" s="1" t="s">
        <v>43</v>
      </c>
      <c r="B50" s="1" t="s">
        <v>44</v>
      </c>
      <c r="C50" s="1" t="s">
        <v>45</v>
      </c>
      <c r="D50" s="1" t="s">
        <v>46</v>
      </c>
    </row>
    <row r="51" spans="1:4" x14ac:dyDescent="0.2">
      <c r="A51" s="2" t="s">
        <v>47</v>
      </c>
      <c r="B51" s="2">
        <v>10</v>
      </c>
      <c r="C51" s="2">
        <v>12</v>
      </c>
      <c r="D51" s="6" t="str">
        <f>IF(B51&gt;C51,"Exceeded","OK")</f>
        <v>OK</v>
      </c>
    </row>
    <row r="52" spans="1:4" x14ac:dyDescent="0.2">
      <c r="A52" s="2" t="s">
        <v>48</v>
      </c>
      <c r="B52" s="2">
        <v>10</v>
      </c>
      <c r="C52" s="2">
        <v>15</v>
      </c>
      <c r="D52" s="6" t="str">
        <f t="shared" ref="D52:D53" si="2">IF(B52&gt;C52,"Exceeded","OK")</f>
        <v>OK</v>
      </c>
    </row>
    <row r="53" spans="1:4" x14ac:dyDescent="0.2">
      <c r="A53" s="2" t="s">
        <v>49</v>
      </c>
      <c r="B53" s="2">
        <v>8</v>
      </c>
      <c r="C53" s="2">
        <v>12</v>
      </c>
      <c r="D53" s="6" t="str">
        <f t="shared" si="2"/>
        <v>OK</v>
      </c>
    </row>
    <row r="56" spans="1:4" ht="34" x14ac:dyDescent="0.2">
      <c r="A56" s="3" t="s">
        <v>51</v>
      </c>
    </row>
    <row r="58" spans="1:4" x14ac:dyDescent="0.2">
      <c r="A58" s="1" t="s">
        <v>24</v>
      </c>
      <c r="B58" s="1" t="s">
        <v>52</v>
      </c>
      <c r="C58" s="6" t="s">
        <v>62</v>
      </c>
    </row>
    <row r="59" spans="1:4" x14ac:dyDescent="0.2">
      <c r="A59" s="2" t="s">
        <v>34</v>
      </c>
      <c r="B59" s="7">
        <v>55000</v>
      </c>
      <c r="C59" s="2" t="s">
        <v>53</v>
      </c>
    </row>
    <row r="60" spans="1:4" x14ac:dyDescent="0.2">
      <c r="A60" s="2" t="s">
        <v>53</v>
      </c>
      <c r="B60" s="7">
        <v>72000</v>
      </c>
      <c r="C60" s="4">
        <f>INDEX(B58:B62, MATCH(C59, A58:A62, 0))</f>
        <v>72000</v>
      </c>
    </row>
    <row r="61" spans="1:4" x14ac:dyDescent="0.2">
      <c r="A61" s="2" t="s">
        <v>54</v>
      </c>
      <c r="B61" s="7">
        <v>62000</v>
      </c>
    </row>
    <row r="62" spans="1:4" x14ac:dyDescent="0.2">
      <c r="A62" s="2" t="s">
        <v>29</v>
      </c>
      <c r="B62" s="7">
        <v>41000</v>
      </c>
    </row>
    <row r="65" spans="1:3" ht="34" x14ac:dyDescent="0.2">
      <c r="A65" s="3" t="s">
        <v>55</v>
      </c>
    </row>
    <row r="67" spans="1:3" x14ac:dyDescent="0.2">
      <c r="A67" s="1" t="s">
        <v>24</v>
      </c>
      <c r="B67" s="1" t="s">
        <v>26</v>
      </c>
      <c r="C67" s="6" t="s">
        <v>63</v>
      </c>
    </row>
    <row r="68" spans="1:3" x14ac:dyDescent="0.2">
      <c r="A68" s="2" t="s">
        <v>27</v>
      </c>
      <c r="B68" s="2" t="s">
        <v>30</v>
      </c>
      <c r="C68" s="9" t="s">
        <v>56</v>
      </c>
    </row>
    <row r="69" spans="1:3" x14ac:dyDescent="0.2">
      <c r="A69" s="2" t="s">
        <v>56</v>
      </c>
      <c r="B69" s="2" t="s">
        <v>28</v>
      </c>
      <c r="C69" s="4" t="str">
        <f>_xlfn.XLOOKUP(C68,A67:A71,B67:B71,"NA",0)</f>
        <v>IT</v>
      </c>
    </row>
    <row r="70" spans="1:3" x14ac:dyDescent="0.2">
      <c r="A70" s="2" t="s">
        <v>54</v>
      </c>
      <c r="B70" s="2" t="s">
        <v>15</v>
      </c>
    </row>
    <row r="71" spans="1:3" x14ac:dyDescent="0.2">
      <c r="A71" s="2" t="s">
        <v>57</v>
      </c>
      <c r="B7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Utkrisht Singh</dc:creator>
  <cp:lastModifiedBy>Utkrisht Singh</cp:lastModifiedBy>
  <dcterms:created xsi:type="dcterms:W3CDTF">2026-01-16T18:12:45Z</dcterms:created>
  <dcterms:modified xsi:type="dcterms:W3CDTF">2026-01-17T17:53:02Z</dcterms:modified>
</cp:coreProperties>
</file>